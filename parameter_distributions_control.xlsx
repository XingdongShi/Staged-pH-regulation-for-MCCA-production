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1b74802922245c44/Desktop/Bio/pH_microalgae/"/>
    </mc:Choice>
  </mc:AlternateContent>
  <xr:revisionPtr revIDLastSave="6" documentId="11_B384DAD6754EDD770C544A06B3A4B56B90F633FE" xr6:coauthVersionLast="47" xr6:coauthVersionMax="47" xr10:uidLastSave="{F4BBA0F1-D547-5C42-B3BC-4E4665BAA846}"/>
  <bookViews>
    <workbookView xWindow="0" yWindow="600" windowWidth="38400" windowHeight="19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G13" i="1"/>
</calcChain>
</file>

<file path=xl/sharedStrings.xml><?xml version="1.0" encoding="utf-8"?>
<sst xmlns="http://schemas.openxmlformats.org/spreadsheetml/2006/main" count="117" uniqueCount="66">
  <si>
    <t>Parameter name</t>
  </si>
  <si>
    <t>Element</t>
  </si>
  <si>
    <t>Kind</t>
  </si>
  <si>
    <t>Units</t>
  </si>
  <si>
    <t>Baseline</t>
  </si>
  <si>
    <t>Shape</t>
  </si>
  <si>
    <t>Lower</t>
  </si>
  <si>
    <t>Midpoint</t>
  </si>
  <si>
    <t>Upper</t>
  </si>
  <si>
    <t>References</t>
  </si>
  <si>
    <t>Load statement</t>
  </si>
  <si>
    <t>Blank parameter</t>
  </si>
  <si>
    <t>TEA</t>
  </si>
  <si>
    <t>isolated</t>
  </si>
  <si>
    <t>Uniform</t>
  </si>
  <si>
    <t>s.microalgae.T = s.microalgae.T</t>
  </si>
  <si>
    <t>GlucoAmylase unit price</t>
  </si>
  <si>
    <t>$/kg</t>
  </si>
  <si>
    <t>s.glucoamylase.price = x</t>
  </si>
  <si>
    <t>AlphaAmylase unit price</t>
  </si>
  <si>
    <t>s.alpha_amylase.price = x</t>
  </si>
  <si>
    <t>Plant annual operating days</t>
  </si>
  <si>
    <t>d</t>
  </si>
  <si>
    <t>microalgae_tea.operating_days = x</t>
  </si>
  <si>
    <t>Feedstock unit price</t>
  </si>
  <si>
    <t>s.microalgae.price = x</t>
  </si>
  <si>
    <t>Natural gas unit price</t>
  </si>
  <si>
    <t>setattr(u.BT601, 'natural_gas_price', x)</t>
  </si>
  <si>
    <t>Electricity unit price</t>
  </si>
  <si>
    <t>$/kWh</t>
  </si>
  <si>
    <t>bst.PowerUtility.price = x</t>
  </si>
  <si>
    <t>Oleyl Alcohol unit price</t>
  </si>
  <si>
    <t>s.fresh_oleylalcohol.price = x</t>
  </si>
  <si>
    <t>Sulfuric Acid unit price</t>
  </si>
  <si>
    <t>s.sulfuricacid.price = x</t>
  </si>
  <si>
    <t>Ammonium Hydroxide unit price</t>
  </si>
  <si>
    <t>s.ammonium_hydroxide.price = x</t>
  </si>
  <si>
    <t>NaOH unit price</t>
  </si>
  <si>
    <t>s.naoh.price = x</t>
  </si>
  <si>
    <t>Feedstock capacity</t>
  </si>
  <si>
    <t>Feedstock</t>
  </si>
  <si>
    <t>coupled</t>
  </si>
  <si>
    <t>kg/h</t>
  </si>
  <si>
    <t>Triangular</t>
  </si>
  <si>
    <t>s.microalgae.F_mass = x</t>
  </si>
  <si>
    <t>Acid loading</t>
  </si>
  <si>
    <t>Pretreatment</t>
  </si>
  <si>
    <t>g/g</t>
  </si>
  <si>
    <t>u.R201.set_acid_loading(x)</t>
  </si>
  <si>
    <t>GlucoAmylase loading</t>
  </si>
  <si>
    <t>u.R203.set_glucoamylase_loading(x)</t>
  </si>
  <si>
    <t>AlphaAmylase loading</t>
  </si>
  <si>
    <t>u.R204.set_alpha_amylase_loading(x)</t>
  </si>
  <si>
    <t>C6 yield</t>
  </si>
  <si>
    <t>Conversion</t>
  </si>
  <si>
    <t>%</t>
  </si>
  <si>
    <t>u.R302.set_C6_yield(x)</t>
  </si>
  <si>
    <t>Extraction efficiency factor</t>
  </si>
  <si>
    <t>Separation</t>
  </si>
  <si>
    <t>u.S402.set_extraction_efficiency(x)</t>
  </si>
  <si>
    <t>Boiler efficiency</t>
  </si>
  <si>
    <t>Co-heat and power</t>
  </si>
  <si>
    <t>u.BT601.boiler_efficiency = x</t>
  </si>
  <si>
    <t>USD/kg dry microalgae</t>
  </si>
  <si>
    <t>USD/kg</t>
  </si>
  <si>
    <t>https://web.archive.org/web/20161125084558/http://www.icis.com/chemicals/channel-info-chemicals-a-z/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</si>
</sst>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color theme="1"/>
      <name val="宋体"/>
    </font>
    <font>
      <sz val="9"/>
      <name val="FangSong"/>
      <family val="3"/>
      <charset val="134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C25" sqref="C25"/>
    </sheetView>
  </sheetViews>
  <sheetFormatPr baseColWidth="10" defaultColWidth="8.83203125" defaultRowHeight="14"/>
  <cols>
    <col min="1" max="1" width="48.83203125" customWidth="1"/>
    <col min="2" max="2" width="18.83203125" customWidth="1"/>
    <col min="4" max="4" width="23" customWidth="1"/>
    <col min="10" max="10" width="34" customWidth="1"/>
    <col min="11" max="11" width="36" customWidth="1"/>
  </cols>
  <sheetData>
    <row r="1" spans="1:11" s="3" customFormat="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s="3" customFormat="1" ht="14" customHeight="1">
      <c r="A2" s="3" t="s">
        <v>11</v>
      </c>
      <c r="B2" s="3" t="s">
        <v>12</v>
      </c>
      <c r="C2" s="3" t="s">
        <v>13</v>
      </c>
      <c r="E2" s="3">
        <v>1</v>
      </c>
      <c r="F2" s="3" t="s">
        <v>14</v>
      </c>
      <c r="G2" s="3">
        <v>0.9</v>
      </c>
      <c r="H2" s="3">
        <v>1</v>
      </c>
      <c r="I2" s="3">
        <v>1.1000000000000001</v>
      </c>
      <c r="J2" s="4"/>
      <c r="K2" s="4" t="s">
        <v>15</v>
      </c>
    </row>
    <row r="3" spans="1:11" s="3" customFormat="1" ht="14" customHeight="1">
      <c r="A3" s="3" t="s">
        <v>16</v>
      </c>
      <c r="B3" s="3" t="s">
        <v>12</v>
      </c>
      <c r="C3" s="3" t="s">
        <v>13</v>
      </c>
      <c r="D3" s="3" t="s">
        <v>17</v>
      </c>
      <c r="E3" s="3">
        <v>6.16</v>
      </c>
      <c r="F3" s="3" t="s">
        <v>14</v>
      </c>
      <c r="G3" s="3">
        <v>4.9280000000000008</v>
      </c>
      <c r="H3" s="3">
        <v>6.16</v>
      </c>
      <c r="I3" s="3">
        <v>10</v>
      </c>
      <c r="J3" s="4"/>
      <c r="K3" s="4" t="s">
        <v>18</v>
      </c>
    </row>
    <row r="4" spans="1:11" s="3" customFormat="1" ht="14" customHeight="1">
      <c r="A4" s="3" t="s">
        <v>19</v>
      </c>
      <c r="B4" s="3" t="s">
        <v>12</v>
      </c>
      <c r="C4" s="3" t="s">
        <v>13</v>
      </c>
      <c r="D4" s="3" t="s">
        <v>17</v>
      </c>
      <c r="E4" s="3">
        <v>6.16</v>
      </c>
      <c r="F4" s="3" t="s">
        <v>14</v>
      </c>
      <c r="G4" s="3">
        <v>4.9280000000000008</v>
      </c>
      <c r="H4" s="3">
        <v>6.16</v>
      </c>
      <c r="I4" s="3">
        <v>10</v>
      </c>
      <c r="J4" s="4"/>
      <c r="K4" s="4" t="s">
        <v>20</v>
      </c>
    </row>
    <row r="5" spans="1:11" s="3" customFormat="1" ht="14" customHeight="1">
      <c r="A5" s="3" t="s">
        <v>21</v>
      </c>
      <c r="B5" s="3" t="s">
        <v>12</v>
      </c>
      <c r="C5" s="3" t="s">
        <v>13</v>
      </c>
      <c r="D5" s="3" t="s">
        <v>22</v>
      </c>
      <c r="E5" s="3">
        <v>330</v>
      </c>
      <c r="F5" s="3" t="s">
        <v>14</v>
      </c>
      <c r="G5" s="3">
        <v>297</v>
      </c>
      <c r="H5" s="3">
        <v>330</v>
      </c>
      <c r="I5" s="3">
        <v>363.00000000000011</v>
      </c>
      <c r="J5" s="4"/>
      <c r="K5" s="4" t="s">
        <v>23</v>
      </c>
    </row>
    <row r="6" spans="1:11" s="3" customFormat="1" ht="14" customHeight="1">
      <c r="A6" s="3" t="s">
        <v>24</v>
      </c>
      <c r="B6" s="3" t="s">
        <v>12</v>
      </c>
      <c r="C6" s="3" t="s">
        <v>13</v>
      </c>
      <c r="D6" s="3" t="s">
        <v>63</v>
      </c>
      <c r="E6" s="3">
        <v>0.15</v>
      </c>
      <c r="F6" s="3" t="s">
        <v>14</v>
      </c>
      <c r="G6" s="3">
        <v>0.12</v>
      </c>
      <c r="H6" s="3">
        <v>0.15</v>
      </c>
      <c r="I6" s="3">
        <v>0.18</v>
      </c>
      <c r="J6" s="4"/>
      <c r="K6" s="4" t="s">
        <v>25</v>
      </c>
    </row>
    <row r="7" spans="1:11" s="3" customFormat="1" ht="14" customHeight="1">
      <c r="A7" s="3" t="s">
        <v>26</v>
      </c>
      <c r="B7" s="3" t="s">
        <v>12</v>
      </c>
      <c r="C7" s="3" t="s">
        <v>13</v>
      </c>
      <c r="D7" s="3" t="s">
        <v>17</v>
      </c>
      <c r="E7" s="3">
        <v>0.25269999999999998</v>
      </c>
      <c r="F7" s="3" t="s">
        <v>14</v>
      </c>
      <c r="G7" s="3">
        <v>0.19800000000000001</v>
      </c>
      <c r="H7" s="3">
        <v>0.25269999999999998</v>
      </c>
      <c r="I7" s="3">
        <v>0.30399999999999999</v>
      </c>
      <c r="J7" s="4"/>
      <c r="K7" s="4" t="s">
        <v>27</v>
      </c>
    </row>
    <row r="8" spans="1:11" s="3" customFormat="1" ht="14" customHeight="1">
      <c r="A8" s="3" t="s">
        <v>28</v>
      </c>
      <c r="B8" s="3" t="s">
        <v>12</v>
      </c>
      <c r="C8" s="3" t="s">
        <v>13</v>
      </c>
      <c r="D8" s="3" t="s">
        <v>29</v>
      </c>
      <c r="E8" s="3">
        <v>7.0000000000000007E-2</v>
      </c>
      <c r="F8" s="3" t="s">
        <v>14</v>
      </c>
      <c r="G8" s="3">
        <v>6.7000000000000004E-2</v>
      </c>
      <c r="H8" s="3">
        <v>7.0000000000000007E-2</v>
      </c>
      <c r="I8" s="3">
        <v>7.3999999999999996E-2</v>
      </c>
      <c r="J8" s="4"/>
      <c r="K8" s="4" t="s">
        <v>30</v>
      </c>
    </row>
    <row r="9" spans="1:11" s="3" customFormat="1" ht="14" customHeight="1">
      <c r="A9" s="3" t="s">
        <v>31</v>
      </c>
      <c r="B9" s="3" t="s">
        <v>12</v>
      </c>
      <c r="C9" s="3" t="s">
        <v>13</v>
      </c>
      <c r="D9" s="3" t="s">
        <v>64</v>
      </c>
      <c r="E9" s="3">
        <v>2.2046199999999998</v>
      </c>
      <c r="F9" s="3" t="s">
        <v>14</v>
      </c>
      <c r="G9" s="3">
        <v>1.7636959999999999</v>
      </c>
      <c r="H9" s="3">
        <v>2.2046199999999998</v>
      </c>
      <c r="I9" s="3">
        <v>2.6455439999999997</v>
      </c>
      <c r="J9" s="4" t="s">
        <v>65</v>
      </c>
      <c r="K9" s="4" t="s">
        <v>32</v>
      </c>
    </row>
    <row r="10" spans="1:11" s="3" customFormat="1" ht="14" customHeight="1">
      <c r="A10" s="3" t="s">
        <v>33</v>
      </c>
      <c r="B10" s="3" t="s">
        <v>12</v>
      </c>
      <c r="C10" s="3" t="s">
        <v>13</v>
      </c>
      <c r="D10" s="3" t="s">
        <v>17</v>
      </c>
      <c r="E10" s="3">
        <v>0.11</v>
      </c>
      <c r="F10" s="3" t="s">
        <v>14</v>
      </c>
      <c r="G10" s="3">
        <v>8.8000000000000009E-2</v>
      </c>
      <c r="H10" s="3">
        <v>0.11</v>
      </c>
      <c r="I10" s="3">
        <v>0.13200000000000001</v>
      </c>
      <c r="J10" s="4"/>
      <c r="K10" s="4" t="s">
        <v>34</v>
      </c>
    </row>
    <row r="11" spans="1:11" s="3" customFormat="1" ht="14" customHeight="1">
      <c r="A11" s="3" t="s">
        <v>35</v>
      </c>
      <c r="B11" s="3" t="s">
        <v>12</v>
      </c>
      <c r="C11" s="3" t="s">
        <v>13</v>
      </c>
      <c r="D11" s="3" t="s">
        <v>17</v>
      </c>
      <c r="E11" s="3">
        <v>0.20399999999999999</v>
      </c>
      <c r="F11" s="3" t="s">
        <v>14</v>
      </c>
      <c r="G11" s="3">
        <v>0.16320000000000001</v>
      </c>
      <c r="H11" s="3">
        <v>0.20399999999999999</v>
      </c>
      <c r="I11" s="3">
        <v>0.24479999999999999</v>
      </c>
      <c r="J11" s="4"/>
      <c r="K11" s="4" t="s">
        <v>36</v>
      </c>
    </row>
    <row r="12" spans="1:11" s="3" customFormat="1" ht="14" customHeight="1">
      <c r="A12" s="3" t="s">
        <v>37</v>
      </c>
      <c r="B12" s="3" t="s">
        <v>12</v>
      </c>
      <c r="C12" s="3" t="s">
        <v>13</v>
      </c>
      <c r="D12" s="3" t="s">
        <v>17</v>
      </c>
      <c r="E12" s="3">
        <v>1.01</v>
      </c>
      <c r="F12" s="3" t="s">
        <v>14</v>
      </c>
      <c r="G12" s="3">
        <v>0.80800000000000005</v>
      </c>
      <c r="H12" s="3">
        <v>1.01</v>
      </c>
      <c r="I12" s="3">
        <v>1.212</v>
      </c>
      <c r="J12" s="4"/>
      <c r="K12" s="4" t="s">
        <v>38</v>
      </c>
    </row>
    <row r="13" spans="1:11" s="3" customFormat="1" ht="14" customHeight="1">
      <c r="A13" s="3" t="s">
        <v>39</v>
      </c>
      <c r="B13" s="3" t="s">
        <v>40</v>
      </c>
      <c r="C13" s="3" t="s">
        <v>41</v>
      </c>
      <c r="D13" s="3" t="s">
        <v>42</v>
      </c>
      <c r="E13" s="3">
        <v>5000</v>
      </c>
      <c r="F13" s="3" t="s">
        <v>43</v>
      </c>
      <c r="G13" s="3">
        <f>E13*0.8</f>
        <v>4000</v>
      </c>
      <c r="H13" s="3">
        <v>5000</v>
      </c>
      <c r="I13" s="3">
        <f>E13*1.2</f>
        <v>6000</v>
      </c>
      <c r="J13" s="4"/>
      <c r="K13" s="4" t="s">
        <v>44</v>
      </c>
    </row>
    <row r="14" spans="1:11" s="3" customFormat="1" ht="14" customHeight="1">
      <c r="A14" s="3" t="s">
        <v>45</v>
      </c>
      <c r="B14" s="3" t="s">
        <v>46</v>
      </c>
      <c r="C14" s="3" t="s">
        <v>41</v>
      </c>
      <c r="D14" s="3" t="s">
        <v>47</v>
      </c>
      <c r="E14" s="3">
        <v>1.47</v>
      </c>
      <c r="F14" s="3" t="s">
        <v>43</v>
      </c>
      <c r="G14" s="3">
        <v>1.1000000000000001</v>
      </c>
      <c r="H14" s="3">
        <v>1.47</v>
      </c>
      <c r="I14" s="3">
        <v>1.8</v>
      </c>
      <c r="J14" s="4"/>
      <c r="K14" s="4" t="s">
        <v>48</v>
      </c>
    </row>
    <row r="15" spans="1:11" s="3" customFormat="1" ht="14" customHeight="1">
      <c r="A15" s="3" t="s">
        <v>49</v>
      </c>
      <c r="B15" s="3" t="s">
        <v>46</v>
      </c>
      <c r="C15" s="3" t="s">
        <v>41</v>
      </c>
      <c r="D15" s="3" t="s">
        <v>47</v>
      </c>
      <c r="E15" s="3">
        <v>1.1000000000000001E-3</v>
      </c>
      <c r="F15" s="3" t="s">
        <v>43</v>
      </c>
      <c r="G15" s="3">
        <v>5.0000000000000001E-4</v>
      </c>
      <c r="H15" s="3">
        <v>1.1000000000000001E-3</v>
      </c>
      <c r="I15" s="3">
        <v>2E-3</v>
      </c>
      <c r="J15" s="4"/>
      <c r="K15" s="4" t="s">
        <v>50</v>
      </c>
    </row>
    <row r="16" spans="1:11" s="3" customFormat="1" ht="14" customHeight="1">
      <c r="A16" s="3" t="s">
        <v>51</v>
      </c>
      <c r="B16" s="3" t="s">
        <v>46</v>
      </c>
      <c r="C16" s="3" t="s">
        <v>41</v>
      </c>
      <c r="D16" s="3" t="s">
        <v>47</v>
      </c>
      <c r="E16" s="3">
        <v>8.2000000000000007E-3</v>
      </c>
      <c r="F16" s="3" t="s">
        <v>43</v>
      </c>
      <c r="G16" s="3">
        <v>5.0000000000000001E-3</v>
      </c>
      <c r="H16" s="3">
        <v>8.2000000000000007E-3</v>
      </c>
      <c r="I16" s="3">
        <v>0.01</v>
      </c>
      <c r="J16" s="4"/>
      <c r="K16" s="4" t="s">
        <v>52</v>
      </c>
    </row>
    <row r="17" spans="1:11" s="3" customFormat="1" ht="14" customHeight="1">
      <c r="A17" s="3" t="s">
        <v>53</v>
      </c>
      <c r="B17" s="3" t="s">
        <v>54</v>
      </c>
      <c r="C17" s="3" t="s">
        <v>41</v>
      </c>
      <c r="D17" s="3" t="s">
        <v>55</v>
      </c>
      <c r="E17" s="5">
        <v>5.0000000000000001E-3</v>
      </c>
      <c r="F17" s="5" t="s">
        <v>43</v>
      </c>
      <c r="G17" s="5">
        <v>4.0000000000000001E-3</v>
      </c>
      <c r="H17" s="5">
        <v>5.0000000000000001E-3</v>
      </c>
      <c r="I17" s="5">
        <v>0.01</v>
      </c>
      <c r="J17" s="4"/>
      <c r="K17" s="4" t="s">
        <v>56</v>
      </c>
    </row>
    <row r="18" spans="1:11" s="3" customFormat="1" ht="14" customHeight="1">
      <c r="A18" s="3" t="s">
        <v>57</v>
      </c>
      <c r="B18" s="3" t="s">
        <v>58</v>
      </c>
      <c r="C18" s="3" t="s">
        <v>41</v>
      </c>
      <c r="E18" s="3">
        <v>1</v>
      </c>
      <c r="F18" s="3" t="s">
        <v>14</v>
      </c>
      <c r="G18" s="3">
        <v>0.5</v>
      </c>
      <c r="H18" s="3">
        <v>1</v>
      </c>
      <c r="I18" s="3">
        <v>1.5</v>
      </c>
      <c r="J18" s="4"/>
      <c r="K18" s="4" t="s">
        <v>59</v>
      </c>
    </row>
    <row r="19" spans="1:11" s="3" customFormat="1" ht="14" customHeight="1">
      <c r="A19" s="3" t="s">
        <v>60</v>
      </c>
      <c r="B19" s="3" t="s">
        <v>61</v>
      </c>
      <c r="C19" s="3" t="s">
        <v>41</v>
      </c>
      <c r="E19" s="3">
        <v>0.7</v>
      </c>
      <c r="F19" s="3" t="s">
        <v>14</v>
      </c>
      <c r="G19" s="3">
        <v>0.6</v>
      </c>
      <c r="H19" s="3">
        <v>0.7</v>
      </c>
      <c r="I19" s="3">
        <v>0.8</v>
      </c>
      <c r="J19" s="4"/>
      <c r="K19" s="4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Xingdong Shi</cp:lastModifiedBy>
  <dcterms:modified xsi:type="dcterms:W3CDTF">2026-07-16T08:45:26Z</dcterms:modified>
</cp:coreProperties>
</file>